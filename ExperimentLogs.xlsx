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oliverstaub/gitroot/BachelorThesis/"/>
    </mc:Choice>
  </mc:AlternateContent>
  <xr:revisionPtr revIDLastSave="0" documentId="13_ncr:1_{C3A41C53-072D-644B-93A5-F637835349C7}" xr6:coauthVersionLast="47" xr6:coauthVersionMax="47" xr10:uidLastSave="{00000000-0000-0000-0000-000000000000}"/>
  <bookViews>
    <workbookView xWindow="0" yWindow="680" windowWidth="15120" windowHeight="17960" tabRatio="500" xr2:uid="{00000000-000D-0000-FFFF-FFFF00000000}"/>
  </bookViews>
  <sheets>
    <sheet name="Experiments" sheetId="1" r:id="rId1"/>
    <sheet name="Thesis Comparison" sheetId="2" r:id="rId2"/>
    <sheet name="Field Reference" sheetId="3" r:id="rId3"/>
    <sheet name="Robustness Check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2" l="1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F4" i="2"/>
  <c r="E4" i="2"/>
  <c r="D4" i="2"/>
  <c r="C4" i="2"/>
  <c r="B4" i="2"/>
  <c r="AE22" i="1"/>
  <c r="S22" i="1"/>
  <c r="AE21" i="1"/>
  <c r="S21" i="1"/>
  <c r="AE20" i="1"/>
  <c r="S20" i="1"/>
  <c r="AE19" i="1"/>
  <c r="S19" i="1"/>
  <c r="AE18" i="1"/>
  <c r="S18" i="1"/>
  <c r="AE17" i="1"/>
  <c r="S17" i="1"/>
  <c r="AE16" i="1"/>
  <c r="S16" i="1"/>
  <c r="AE15" i="1"/>
  <c r="S15" i="1"/>
  <c r="AE14" i="1"/>
  <c r="S14" i="1"/>
  <c r="AE13" i="1"/>
  <c r="S13" i="1"/>
  <c r="AE12" i="1"/>
  <c r="S12" i="1"/>
  <c r="AE11" i="1"/>
  <c r="S11" i="1"/>
  <c r="AE10" i="1"/>
  <c r="S10" i="1"/>
  <c r="AE9" i="1"/>
  <c r="S9" i="1"/>
  <c r="AE4" i="1"/>
  <c r="S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Tracker</author>
  </authors>
  <commentList>
    <comment ref="A3" authorId="0" shapeId="0" xr:uid="{00000000-0006-0000-0000-000001000000}">
      <text>
        <r>
          <rPr>
            <sz val="10"/>
            <rFont val="Arial"/>
            <family val="2"/>
          </rPr>
          <t>Reference name</t>
        </r>
      </text>
    </comment>
    <comment ref="B3" authorId="0" shapeId="0" xr:uid="{00000000-0006-0000-0000-000002000000}">
      <text>
        <r>
          <rPr>
            <sz val="10"/>
            <rFont val="Arial"/>
            <family val="2"/>
          </rPr>
          <t>tornettools scale (e.g. 0.01 = 1 %)</t>
        </r>
      </text>
    </comment>
    <comment ref="C3" authorId="0" shapeId="0" xr:uid="{00000000-0006-0000-0000-000003000000}">
      <text>
        <r>
          <rPr>
            <sz val="10"/>
            <rFont val="Arial"/>
            <family val="2"/>
          </rPr>
          <t>Number of Tor relays</t>
        </r>
      </text>
    </comment>
    <comment ref="D3" authorId="0" shapeId="0" xr:uid="{00000000-0006-0000-0000-000004000000}">
      <text>
        <r>
          <rPr>
            <sz val="10"/>
            <rFont val="Arial"/>
            <family val="2"/>
          </rPr>
          <t>Fixed by tornettools (usually 3)</t>
        </r>
      </text>
    </comment>
    <comment ref="E3" authorId="0" shapeId="0" xr:uid="{00000000-0006-0000-0000-000005000000}">
      <text>
        <r>
          <rPr>
            <sz val="10"/>
            <rFont val="Arial"/>
            <family val="2"/>
          </rPr>
          <t>All simulated nodes</t>
        </r>
      </text>
    </comment>
    <comment ref="F3" authorId="0" shapeId="0" xr:uid="{00000000-0006-0000-0000-000006000000}">
      <text>
        <r>
          <rPr>
            <sz val="10"/>
            <rFont val="Arial"/>
            <family val="2"/>
          </rPr>
          <t>Parallel data-collection clients</t>
        </r>
      </text>
    </comment>
    <comment ref="G3" authorId="0" shapeId="0" xr:uid="{00000000-0006-0000-0000-000007000000}">
      <text>
        <r>
          <rPr>
            <sz val="10"/>
            <rFont val="Arial"/>
            <family val="2"/>
          </rPr>
          <t>Number of monitored URLs = # classes</t>
        </r>
      </text>
    </comment>
    <comment ref="H3" authorId="0" shapeId="0" xr:uid="{00000000-0006-0000-0000-000008000000}">
      <text>
        <r>
          <rPr>
            <sz val="10"/>
            <rFont val="Arial"/>
            <family val="2"/>
          </rPr>
          <t>Samples per class</t>
        </r>
      </text>
    </comment>
    <comment ref="I3" authorId="0" shapeId="0" xr:uid="{00000000-0006-0000-0000-000009000000}">
      <text>
        <r>
          <rPr>
            <sz val="10"/>
            <rFont val="Arial"/>
            <family val="2"/>
          </rPr>
          <t>Seconds between consecutive visits</t>
        </r>
      </text>
    </comment>
    <comment ref="J3" authorId="0" shapeId="0" xr:uid="{00000000-0006-0000-0000-00000A000000}">
      <text>
        <r>
          <rPr>
            <sz val="10"/>
            <rFont val="Arial"/>
            <family val="2"/>
          </rPr>
          <t>OFF / ON (default) / Reduced</t>
        </r>
      </text>
    </comment>
    <comment ref="K3" authorId="0" shapeId="0" xr:uid="{00000000-0006-0000-0000-00000B000000}">
      <text>
        <r>
          <rPr>
            <sz val="10"/>
            <rFont val="Arial"/>
            <family val="2"/>
          </rPr>
          <t>Reproducibility</t>
        </r>
      </text>
    </comment>
    <comment ref="L3" authorId="0" shapeId="0" xr:uid="{00000000-0006-0000-0000-00000C000000}">
      <text>
        <r>
          <rPr>
            <sz val="10"/>
            <rFont val="Arial"/>
            <family val="2"/>
          </rPr>
          <t>Reproducibility</t>
        </r>
      </text>
    </comment>
    <comment ref="M3" authorId="0" shapeId="0" xr:uid="{00000000-0006-0000-0000-00000D000000}">
      <text>
        <r>
          <rPr>
            <sz val="10"/>
            <rFont val="Arial"/>
            <family val="2"/>
          </rPr>
          <t>Wikipedia/content source used</t>
        </r>
      </text>
    </comment>
    <comment ref="N3" authorId="0" shapeId="0" xr:uid="{00000000-0006-0000-0000-00000E000000}">
      <text>
        <r>
          <rPr>
            <sz val="10"/>
            <rFont val="Arial"/>
            <family val="2"/>
          </rPr>
          <t>Total simulated duration</t>
        </r>
      </text>
    </comment>
    <comment ref="O3" authorId="0" shapeId="0" xr:uid="{00000000-0006-0000-0000-00000F000000}">
      <text>
        <r>
          <rPr>
            <sz val="10"/>
            <color rgb="FF000000"/>
            <rFont val="Arial"/>
            <family val="2"/>
          </rPr>
          <t>Real time the sim took (h)</t>
        </r>
      </text>
    </comment>
    <comment ref="P3" authorId="0" shapeId="0" xr:uid="{00000000-0006-0000-0000-000010000000}">
      <text>
        <r>
          <rPr>
            <sz val="10"/>
            <rFont val="Arial"/>
            <family val="2"/>
          </rPr>
          <t>After pcap_to_npz</t>
        </r>
      </text>
    </comment>
    <comment ref="Q3" authorId="0" shapeId="0" xr:uid="{00000000-0006-0000-0000-000011000000}">
      <text>
        <r>
          <rPr>
            <sz val="10"/>
            <rFont val="Arial"/>
            <family val="2"/>
          </rPr>
          <t>Typically == visits per page minus failed</t>
        </r>
      </text>
    </comment>
    <comment ref="R3" authorId="0" shapeId="0" xr:uid="{00000000-0006-0000-0000-000012000000}">
      <text>
        <r>
          <rPr>
            <sz val="10"/>
            <rFont val="Arial"/>
            <family val="2"/>
          </rPr>
          <t>Page loads that didn't complete</t>
        </r>
      </text>
    </comment>
    <comment ref="S3" authorId="0" shapeId="0" xr:uid="{00000000-0006-0000-0000-000013000000}">
      <text>
        <r>
          <rPr>
            <sz val="10"/>
            <rFont val="Arial"/>
            <family val="2"/>
          </rPr>
          <t>Auto: failed / total</t>
        </r>
      </text>
    </comment>
    <comment ref="T3" authorId="0" shapeId="0" xr:uid="{00000000-0006-0000-0000-000014000000}">
      <text>
        <r>
          <rPr>
            <sz val="10"/>
            <rFont val="Arial"/>
            <family val="2"/>
          </rPr>
          <t>Samples discarded by DF pre-processing</t>
        </r>
      </text>
    </comment>
    <comment ref="U3" authorId="0" shapeId="0" xr:uid="{00000000-0006-0000-0000-000015000000}">
      <text>
        <r>
          <rPr>
            <sz val="10"/>
            <rFont val="Arial"/>
            <family val="2"/>
          </rPr>
          <t>Sanity check on trace length</t>
        </r>
      </text>
    </comment>
    <comment ref="V3" authorId="0" shapeId="0" xr:uid="{00000000-0006-0000-0000-000016000000}">
      <text>
        <r>
          <rPr>
            <sz val="10"/>
            <rFont val="Arial"/>
            <family val="2"/>
          </rPr>
          <t>DF training set size</t>
        </r>
      </text>
    </comment>
    <comment ref="W3" authorId="0" shapeId="0" xr:uid="{00000000-0006-0000-0000-000017000000}">
      <text>
        <r>
          <rPr>
            <sz val="10"/>
            <rFont val="Arial"/>
            <family val="2"/>
          </rPr>
          <t>DF validation set size</t>
        </r>
      </text>
    </comment>
    <comment ref="X3" authorId="0" shapeId="0" xr:uid="{00000000-0006-0000-0000-000018000000}">
      <text>
        <r>
          <rPr>
            <sz val="10"/>
            <rFont val="Arial"/>
            <family val="2"/>
          </rPr>
          <t>DF test set size</t>
        </r>
      </text>
    </comment>
    <comment ref="Y3" authorId="0" shapeId="0" xr:uid="{00000000-0006-0000-0000-000019000000}">
      <text>
        <r>
          <rPr>
            <sz val="10"/>
            <rFont val="Arial"/>
            <family val="2"/>
          </rPr>
          <t>From test.py</t>
        </r>
      </text>
    </comment>
    <comment ref="Z3" authorId="0" shapeId="0" xr:uid="{00000000-0006-0000-0000-00001A000000}">
      <text>
        <r>
          <rPr>
            <sz val="10"/>
            <rFont val="Arial"/>
            <family val="2"/>
          </rPr>
          <t>Macro-averaged</t>
        </r>
      </text>
    </comment>
    <comment ref="AA3" authorId="0" shapeId="0" xr:uid="{00000000-0006-0000-0000-00001B000000}">
      <text>
        <r>
          <rPr>
            <sz val="10"/>
            <rFont val="Arial"/>
            <family val="2"/>
          </rPr>
          <t>Macro-averaged</t>
        </r>
      </text>
    </comment>
    <comment ref="AB3" authorId="0" shapeId="0" xr:uid="{00000000-0006-0000-0000-00001C000000}">
      <text>
        <r>
          <rPr>
            <sz val="10"/>
            <rFont val="Arial"/>
            <family val="2"/>
          </rPr>
          <t>Macro-averaged</t>
        </r>
      </text>
    </comment>
    <comment ref="AC3" authorId="0" shapeId="0" xr:uid="{00000000-0006-0000-0000-00001D000000}">
      <text>
        <r>
          <rPr>
            <sz val="10"/>
            <rFont val="Arial"/>
            <family val="2"/>
          </rPr>
          <t>Total epochs run</t>
        </r>
      </text>
    </comment>
    <comment ref="AD3" authorId="0" shapeId="0" xr:uid="{00000000-0006-0000-0000-00001E000000}">
      <text>
        <r>
          <rPr>
            <sz val="10"/>
            <rFont val="Arial"/>
            <family val="2"/>
          </rPr>
          <t>Epoch with best validation score</t>
        </r>
      </text>
    </comment>
    <comment ref="AE3" authorId="0" shapeId="0" xr:uid="{00000000-0006-0000-0000-00001F000000}">
      <text>
        <r>
          <rPr>
            <sz val="10"/>
            <rFont val="Arial"/>
            <family val="2"/>
          </rPr>
          <t>Auto: 1 / Pages (classes)</t>
        </r>
      </text>
    </comment>
    <comment ref="AF3" authorId="0" shapeId="0" xr:uid="{00000000-0006-0000-0000-000020000000}">
      <text>
        <r>
          <rPr>
            <sz val="10"/>
            <rFont val="Arial"/>
            <family val="2"/>
          </rPr>
          <t>Anything unusual</t>
        </r>
      </text>
    </comment>
  </commentList>
</comments>
</file>

<file path=xl/sharedStrings.xml><?xml version="1.0" encoding="utf-8"?>
<sst xmlns="http://schemas.openxmlformats.org/spreadsheetml/2006/main" count="193" uniqueCount="116">
  <si>
    <t>Website-Fingerprinting Experiment Tracker  —  Tor Circuit Padding Study</t>
  </si>
  <si>
    <t>SIMULATION PARAMETERS (input)</t>
  </si>
  <si>
    <t>DATA QUALITY (after pcap_to_npz)</t>
  </si>
  <si>
    <t>DF RESULTS (after test.py)</t>
  </si>
  <si>
    <t>Experiment</t>
  </si>
  <si>
    <t>Network Scale</t>
  </si>
  <si>
    <t>Relays</t>
  </si>
  <si>
    <t>Directory Authorities</t>
  </si>
  <si>
    <t>Nodes Total</t>
  </si>
  <si>
    <t>Monitors (WF Clients)</t>
  </si>
  <si>
    <t>Pages (classes)</t>
  </si>
  <si>
    <t>Visits per page</t>
  </si>
  <si>
    <t>Visit Interval (s)</t>
  </si>
  <si>
    <t>Circuit Padding</t>
  </si>
  <si>
    <t>Tor version</t>
  </si>
  <si>
    <t>Seed</t>
  </si>
  <si>
    <t>ZIM file</t>
  </si>
  <si>
    <t>Sim stop_time (s)</t>
  </si>
  <si>
    <t>Wall-clock time</t>
  </si>
  <si>
    <t>Total samples</t>
  </si>
  <si>
    <t>Samples per class</t>
  </si>
  <si>
    <t>Failed fetches</t>
  </si>
  <si>
    <t>Failed fetches %</t>
  </si>
  <si>
    <t>Skipped (too few packets)</t>
  </si>
  <si>
    <t>Mean packets per sample</t>
  </si>
  <si>
    <t>Train samples</t>
  </si>
  <si>
    <t>Valid samples</t>
  </si>
  <si>
    <t>Test samples</t>
  </si>
  <si>
    <t>Accuracy</t>
  </si>
  <si>
    <t>Precision</t>
  </si>
  <si>
    <t>Recall</t>
  </si>
  <si>
    <t>F1-score</t>
  </si>
  <si>
    <t>Training epochs</t>
  </si>
  <si>
    <t>Best epoch</t>
  </si>
  <si>
    <t>Random baseline</t>
  </si>
  <si>
    <t>Notes</t>
  </si>
  <si>
    <t>Exp8</t>
  </si>
  <si>
    <t>ON</t>
  </si>
  <si>
    <t>simple_en_maxi_2026-02</t>
  </si>
  <si>
    <t>~2.5h</t>
  </si>
  <si>
    <t>First end-to-end pipeline run; insufficient data.</t>
  </si>
  <si>
    <t>Key Result: Accuracy vs Circuit Padding</t>
  </si>
  <si>
    <t>Pages</t>
  </si>
  <si>
    <t>Visits</t>
  </si>
  <si>
    <t>Padding</t>
  </si>
  <si>
    <t>First pilot run</t>
  </si>
  <si>
    <t>exp-baseline</t>
  </si>
  <si>
    <t>Padding OFF — target ~92%</t>
  </si>
  <si>
    <t>exp-padding</t>
  </si>
  <si>
    <t>Padding ON (default)</t>
  </si>
  <si>
    <t>exp-reduced</t>
  </si>
  <si>
    <t>Padding Reduced</t>
  </si>
  <si>
    <t>How this works</t>
  </si>
  <si>
    <t>• Type an experiment name in column A that matches a row in the Experiments sheet.</t>
  </si>
  <si>
    <t>• Pages, Visits, Padding, Accuracy, and F1 auto-fill via INDEX/MATCH.</t>
  </si>
  <si>
    <t>• The drop between baseline (padding OFF) and padding ON is the core thesis finding.</t>
  </si>
  <si>
    <t>• Add more rows as you run more experiments; copy the formulas down.</t>
  </si>
  <si>
    <t>Field Reference</t>
  </si>
  <si>
    <t>Section</t>
  </si>
  <si>
    <t>Field</t>
  </si>
  <si>
    <t>Why track it / Notes</t>
  </si>
  <si>
    <t>Simulation Parameters</t>
  </si>
  <si>
    <t>Reference name</t>
  </si>
  <si>
    <t>tornettools scale (e.g. 0.01 = 1 %)</t>
  </si>
  <si>
    <t>Number of Tor relays</t>
  </si>
  <si>
    <t>Fixed by tornettools (usually 3)</t>
  </si>
  <si>
    <t>All simulated nodes</t>
  </si>
  <si>
    <t>Parallel data-collection clients</t>
  </si>
  <si>
    <t>Number of monitored URLs = # classes</t>
  </si>
  <si>
    <t>Seconds between consecutive visits</t>
  </si>
  <si>
    <t>OFF / ON (default) / Reduced</t>
  </si>
  <si>
    <t>Reproducibility</t>
  </si>
  <si>
    <t>Wikipedia/content source used</t>
  </si>
  <si>
    <t>Total simulated duration</t>
  </si>
  <si>
    <t>Real time the sim took (h)</t>
  </si>
  <si>
    <t>Data Quality</t>
  </si>
  <si>
    <t>After pcap_to_npz</t>
  </si>
  <si>
    <t>Typically == visits per page minus failed</t>
  </si>
  <si>
    <t>Page loads that didn't complete</t>
  </si>
  <si>
    <t>Auto: failed / total</t>
  </si>
  <si>
    <t>Samples discarded by DF pre-processing</t>
  </si>
  <si>
    <t>Sanity check on trace length</t>
  </si>
  <si>
    <t>DF training set size</t>
  </si>
  <si>
    <t>DF validation set size</t>
  </si>
  <si>
    <t>DF test set size</t>
  </si>
  <si>
    <t>DF Results</t>
  </si>
  <si>
    <t>From test.py</t>
  </si>
  <si>
    <t>Macro-averaged</t>
  </si>
  <si>
    <t>Total epochs run</t>
  </si>
  <si>
    <t>Epoch with best validation score</t>
  </si>
  <si>
    <t>Auto: 1 / Pages (classes)</t>
  </si>
  <si>
    <t>Anything unusual</t>
  </si>
  <si>
    <t>Robustness Checks (future work / Ausblick)</t>
  </si>
  <si>
    <t>Check</t>
  </si>
  <si>
    <t>Setup</t>
  </si>
  <si>
    <t>Train on</t>
  </si>
  <si>
    <t>Test on</t>
  </si>
  <si>
    <t>Cross-seed</t>
  </si>
  <si>
    <t>Different Shadow seeds</t>
  </si>
  <si>
    <t>Seed A</t>
  </si>
  <si>
    <t>Seed B</t>
  </si>
  <si>
    <t>Cross-time</t>
  </si>
  <si>
    <t>Chronological split</t>
  </si>
  <si>
    <t>Visits 1–25</t>
  </si>
  <si>
    <t>Visits 26–50</t>
  </si>
  <si>
    <t>Cross-padding</t>
  </si>
  <si>
    <t>Padding generalisation</t>
  </si>
  <si>
    <t>Padding OFF</t>
  </si>
  <si>
    <t>Padding ON</t>
  </si>
  <si>
    <t>If accuracy holds across these splits, the classifier is learning page features rather than network artefacts.</t>
  </si>
  <si>
    <t>OFF</t>
  </si>
  <si>
    <t>exp-baseline-20</t>
  </si>
  <si>
    <t>s</t>
  </si>
  <si>
    <t>exp-padding-20</t>
  </si>
  <si>
    <t>exp-reduced-20</t>
  </si>
  <si>
    <t>REDUCED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</si>
</sst>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;\(#,##0\);\-"/>
    <numFmt numFmtId="166" formatCode="0.0%;\-0.0%;\-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b/>
      <sz val="11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DCE6F1"/>
        <bgColor rgb="FFE4DFEC"/>
      </patternFill>
    </fill>
    <fill>
      <patternFill patternType="solid">
        <fgColor rgb="FFE4DFEC"/>
        <bgColor rgb="FFDCE6F1"/>
      </patternFill>
    </fill>
    <fill>
      <patternFill patternType="solid">
        <fgColor rgb="FFEAF1DD"/>
        <bgColor rgb="FFFDE9D9"/>
      </patternFill>
    </fill>
    <fill>
      <patternFill patternType="solid">
        <fgColor rgb="FFFFF2CC"/>
        <bgColor rgb="FFFDE9D9"/>
      </patternFill>
    </fill>
    <fill>
      <patternFill patternType="solid">
        <fgColor rgb="FFFDE9D9"/>
        <b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5" fillId="3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9" fillId="0" borderId="0" xfId="0" applyFont="1"/>
    <xf numFmtId="0" fontId="8" fillId="0" borderId="0" xfId="0" applyFont="1"/>
    <xf numFmtId="0" fontId="10" fillId="0" borderId="0" xfId="0" applyFont="1"/>
    <xf numFmtId="21" fontId="8" fillId="0" borderId="0" xfId="0" applyNumberFormat="1" applyFont="1"/>
    <xf numFmtId="10" fontId="8" fillId="0" borderId="0" xfId="0" applyNumberFormat="1" applyFont="1"/>
    <xf numFmtId="165" fontId="1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1DD"/>
      <rgbColor rgb="FFFDE9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9" sqref="G9"/>
    </sheetView>
  </sheetViews>
  <sheetFormatPr baseColWidth="10" defaultColWidth="8.6640625" defaultRowHeight="15" customHeight="1" x14ac:dyDescent="0.2"/>
  <cols>
    <col min="1" max="1" width="14.1640625" bestFit="1" customWidth="1"/>
    <col min="2" max="2" width="7.83203125" bestFit="1" customWidth="1"/>
    <col min="3" max="3" width="6.83203125" bestFit="1" customWidth="1"/>
    <col min="4" max="4" width="10" bestFit="1" customWidth="1"/>
    <col min="5" max="5" width="6.33203125" bestFit="1" customWidth="1"/>
    <col min="6" max="6" width="11.6640625" bestFit="1" customWidth="1"/>
    <col min="7" max="7" width="8.6640625" bestFit="1" customWidth="1"/>
    <col min="8" max="8" width="9" bestFit="1" customWidth="1"/>
    <col min="9" max="9" width="9.83203125" bestFit="1" customWidth="1"/>
    <col min="10" max="10" width="9" bestFit="1" customWidth="1"/>
    <col min="11" max="11" width="10.5" bestFit="1" customWidth="1"/>
    <col min="12" max="12" width="5.33203125" bestFit="1" customWidth="1"/>
    <col min="13" max="13" width="21.1640625" bestFit="1" customWidth="1"/>
    <col min="14" max="14" width="11.6640625" bestFit="1" customWidth="1"/>
    <col min="15" max="15" width="9.6640625" bestFit="1" customWidth="1"/>
    <col min="16" max="16" width="8.1640625" bestFit="1" customWidth="1"/>
    <col min="17" max="17" width="8.83203125" bestFit="1" customWidth="1"/>
    <col min="18" max="18" width="7.1640625" bestFit="1" customWidth="1"/>
    <col min="19" max="19" width="9.1640625" bestFit="1" customWidth="1"/>
    <col min="20" max="20" width="11.5" bestFit="1" customWidth="1"/>
    <col min="21" max="21" width="12.5" bestFit="1" customWidth="1"/>
    <col min="22" max="24" width="8.1640625" bestFit="1" customWidth="1"/>
    <col min="25" max="26" width="9" bestFit="1" customWidth="1"/>
    <col min="27" max="27" width="7.33203125" bestFit="1" customWidth="1"/>
    <col min="28" max="28" width="8.33203125" bestFit="1" customWidth="1"/>
    <col min="29" max="29" width="7.83203125" bestFit="1" customWidth="1"/>
    <col min="30" max="30" width="6.1640625" bestFit="1" customWidth="1"/>
    <col min="31" max="31" width="8.1640625" bestFit="1" customWidth="1"/>
    <col min="32" max="32" width="37.33203125" bestFit="1" customWidth="1"/>
  </cols>
  <sheetData>
    <row r="1" spans="1:32" ht="27.75" customHeight="1" x14ac:dyDescent="0.2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ht="21.75" customHeight="1" x14ac:dyDescent="0.2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8" t="s">
        <v>2</v>
      </c>
      <c r="Q2" s="18"/>
      <c r="R2" s="18"/>
      <c r="S2" s="18"/>
      <c r="T2" s="18"/>
      <c r="U2" s="18"/>
      <c r="V2" s="18"/>
      <c r="W2" s="18"/>
      <c r="X2" s="18"/>
      <c r="Y2" s="19" t="s">
        <v>3</v>
      </c>
      <c r="Z2" s="19"/>
      <c r="AA2" s="19"/>
      <c r="AB2" s="19"/>
      <c r="AC2" s="19"/>
      <c r="AD2" s="19"/>
      <c r="AE2" s="19"/>
      <c r="AF2" s="19"/>
    </row>
    <row r="3" spans="1:32" ht="37.5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  <c r="P3" s="2" t="s">
        <v>19</v>
      </c>
      <c r="Q3" s="2" t="s">
        <v>20</v>
      </c>
      <c r="R3" s="2" t="s">
        <v>21</v>
      </c>
      <c r="S3" s="2" t="s">
        <v>22</v>
      </c>
      <c r="T3" s="2" t="s">
        <v>23</v>
      </c>
      <c r="U3" s="2" t="s">
        <v>24</v>
      </c>
      <c r="V3" s="2" t="s">
        <v>25</v>
      </c>
      <c r="W3" s="2" t="s">
        <v>26</v>
      </c>
      <c r="X3" s="2" t="s">
        <v>27</v>
      </c>
      <c r="Y3" s="3" t="s">
        <v>28</v>
      </c>
      <c r="Z3" s="3" t="s">
        <v>29</v>
      </c>
      <c r="AA3" s="3" t="s">
        <v>30</v>
      </c>
      <c r="AB3" s="3" t="s">
        <v>31</v>
      </c>
      <c r="AC3" s="3" t="s">
        <v>32</v>
      </c>
      <c r="AD3" s="3" t="s">
        <v>33</v>
      </c>
      <c r="AE3" s="3" t="s">
        <v>34</v>
      </c>
      <c r="AF3" s="3" t="s">
        <v>35</v>
      </c>
    </row>
    <row r="4" spans="1:32" x14ac:dyDescent="0.2">
      <c r="A4" s="4" t="s">
        <v>36</v>
      </c>
      <c r="B4" s="5">
        <v>0.01</v>
      </c>
      <c r="C4" s="6">
        <v>79</v>
      </c>
      <c r="D4" s="6">
        <v>3</v>
      </c>
      <c r="E4" s="6">
        <v>82</v>
      </c>
      <c r="F4" s="6">
        <v>5</v>
      </c>
      <c r="G4" s="6">
        <v>5</v>
      </c>
      <c r="H4" s="6">
        <v>50</v>
      </c>
      <c r="I4" s="6">
        <v>30</v>
      </c>
      <c r="J4" s="7" t="s">
        <v>37</v>
      </c>
      <c r="K4" s="4"/>
      <c r="L4" s="6">
        <v>1</v>
      </c>
      <c r="M4" s="4" t="s">
        <v>38</v>
      </c>
      <c r="N4" s="6">
        <v>3600</v>
      </c>
      <c r="O4" s="4" t="s">
        <v>39</v>
      </c>
      <c r="P4" s="6">
        <v>250</v>
      </c>
      <c r="Q4" s="6">
        <v>50</v>
      </c>
      <c r="R4" s="6">
        <v>9</v>
      </c>
      <c r="S4" s="8">
        <f t="shared" ref="S4:S22" si="0">IFERROR(R4/P4,"")</f>
        <v>3.5999999999999997E-2</v>
      </c>
      <c r="T4" s="6">
        <v>0</v>
      </c>
      <c r="U4" s="6">
        <v>804</v>
      </c>
      <c r="V4" s="6">
        <v>202</v>
      </c>
      <c r="W4" s="6">
        <v>23</v>
      </c>
      <c r="X4" s="6">
        <v>25</v>
      </c>
      <c r="Y4" s="8">
        <v>0.32</v>
      </c>
      <c r="Z4" s="8">
        <v>0.45600000000000002</v>
      </c>
      <c r="AA4" s="8">
        <v>0.32</v>
      </c>
      <c r="AB4" s="8">
        <v>0.26800000000000002</v>
      </c>
      <c r="AC4" s="6">
        <v>30</v>
      </c>
      <c r="AD4" s="6">
        <v>29</v>
      </c>
      <c r="AE4" s="8">
        <f t="shared" ref="AE4:AE22" si="1">IFERROR(1/G4,"")</f>
        <v>0.2</v>
      </c>
      <c r="AF4" s="9" t="s">
        <v>40</v>
      </c>
    </row>
    <row r="5" spans="1:32" ht="16" x14ac:dyDescent="0.2">
      <c r="A5" s="22" t="s">
        <v>46</v>
      </c>
      <c r="B5" s="23">
        <v>0.01</v>
      </c>
      <c r="C5" s="23">
        <v>79</v>
      </c>
      <c r="D5" s="23">
        <v>3</v>
      </c>
      <c r="E5" s="23">
        <v>298</v>
      </c>
      <c r="F5" s="23">
        <v>5</v>
      </c>
      <c r="G5" s="23">
        <v>5</v>
      </c>
      <c r="H5" s="23">
        <v>100</v>
      </c>
      <c r="I5" s="23">
        <v>30</v>
      </c>
      <c r="J5" s="7" t="s">
        <v>110</v>
      </c>
      <c r="K5" s="24"/>
      <c r="L5" s="23">
        <v>1</v>
      </c>
      <c r="M5" s="23" t="s">
        <v>38</v>
      </c>
      <c r="N5" s="24"/>
      <c r="O5" s="25">
        <v>0.13750000000000001</v>
      </c>
      <c r="P5" s="23">
        <v>500</v>
      </c>
      <c r="Q5" s="23">
        <v>100</v>
      </c>
      <c r="R5" s="23">
        <v>22</v>
      </c>
      <c r="S5" s="26">
        <v>4.3999999999999997E-2</v>
      </c>
      <c r="T5" s="24"/>
      <c r="U5" s="23">
        <v>787</v>
      </c>
      <c r="V5" s="23">
        <v>405</v>
      </c>
      <c r="W5" s="23">
        <v>45</v>
      </c>
      <c r="X5" s="23">
        <v>50</v>
      </c>
      <c r="Y5" s="26">
        <v>0.92</v>
      </c>
      <c r="Z5" s="26">
        <v>0.93600000000000005</v>
      </c>
      <c r="AA5" s="26">
        <v>0.92</v>
      </c>
      <c r="AB5" s="26">
        <v>0.92100000000000004</v>
      </c>
      <c r="AC5" s="23">
        <v>30</v>
      </c>
      <c r="AD5" s="24"/>
      <c r="AE5" s="26">
        <v>0.2</v>
      </c>
      <c r="AF5" s="24"/>
    </row>
    <row r="6" spans="1:32" ht="16" x14ac:dyDescent="0.2">
      <c r="A6" s="22" t="s">
        <v>111</v>
      </c>
      <c r="B6" s="23">
        <v>0.01</v>
      </c>
      <c r="C6" s="23">
        <v>79</v>
      </c>
      <c r="D6" s="23">
        <v>3</v>
      </c>
      <c r="E6" s="23">
        <v>303</v>
      </c>
      <c r="F6" s="23">
        <v>10</v>
      </c>
      <c r="G6" s="23">
        <v>20</v>
      </c>
      <c r="H6" s="23">
        <v>150</v>
      </c>
      <c r="I6" s="23">
        <v>30</v>
      </c>
      <c r="J6" s="7" t="s">
        <v>110</v>
      </c>
      <c r="K6" s="24"/>
      <c r="L6" s="23">
        <v>1</v>
      </c>
      <c r="M6" s="23" t="s">
        <v>38</v>
      </c>
      <c r="N6" s="24"/>
      <c r="O6" s="25">
        <v>0.33124999999999999</v>
      </c>
      <c r="P6" s="23">
        <v>3000</v>
      </c>
      <c r="Q6" s="23">
        <v>150</v>
      </c>
      <c r="R6" s="23">
        <v>51</v>
      </c>
      <c r="S6" s="26">
        <v>1.7000000000000001E-2</v>
      </c>
      <c r="T6" s="24"/>
      <c r="U6" s="23">
        <v>635</v>
      </c>
      <c r="V6" s="23">
        <v>2430</v>
      </c>
      <c r="W6" s="23">
        <v>270</v>
      </c>
      <c r="X6" s="23">
        <v>300</v>
      </c>
      <c r="Y6" s="26">
        <v>0.92700000000000005</v>
      </c>
      <c r="Z6" s="26">
        <v>0.93300000000000005</v>
      </c>
      <c r="AA6" s="26">
        <v>0.92700000000000005</v>
      </c>
      <c r="AB6" s="26">
        <v>0.92700000000000005</v>
      </c>
      <c r="AC6" s="23">
        <v>30</v>
      </c>
      <c r="AD6" s="24"/>
      <c r="AE6" s="26">
        <v>0.05</v>
      </c>
      <c r="AF6" s="24"/>
    </row>
    <row r="7" spans="1:32" ht="16" x14ac:dyDescent="0.2">
      <c r="A7" s="22" t="s">
        <v>113</v>
      </c>
      <c r="B7" s="23">
        <v>0.01</v>
      </c>
      <c r="C7" s="23">
        <v>79</v>
      </c>
      <c r="D7" s="23">
        <v>3</v>
      </c>
      <c r="E7" s="23">
        <v>303</v>
      </c>
      <c r="F7" s="23">
        <v>10</v>
      </c>
      <c r="G7" s="23">
        <v>20</v>
      </c>
      <c r="H7" s="23">
        <v>150</v>
      </c>
      <c r="I7" s="23">
        <v>30</v>
      </c>
      <c r="J7" s="23" t="s">
        <v>37</v>
      </c>
      <c r="K7" s="24"/>
      <c r="L7" s="23">
        <v>1</v>
      </c>
      <c r="M7" s="23" t="s">
        <v>38</v>
      </c>
      <c r="N7" s="24"/>
      <c r="O7" s="25">
        <v>0.34444444444444444</v>
      </c>
      <c r="P7" s="23">
        <v>3000</v>
      </c>
      <c r="Q7" s="23">
        <v>150</v>
      </c>
      <c r="R7" s="23">
        <v>46</v>
      </c>
      <c r="S7" s="26">
        <v>1.4999999999999999E-2</v>
      </c>
      <c r="T7" s="24"/>
      <c r="U7" s="23">
        <v>638</v>
      </c>
      <c r="V7" s="23">
        <v>2430</v>
      </c>
      <c r="W7" s="23">
        <v>270</v>
      </c>
      <c r="X7" s="23">
        <v>300</v>
      </c>
      <c r="Y7" s="26">
        <v>0.83299999999999996</v>
      </c>
      <c r="Z7" s="26">
        <v>0.84199999999999997</v>
      </c>
      <c r="AA7" s="26">
        <v>0.83299999999999996</v>
      </c>
      <c r="AB7" s="26">
        <v>0.82799999999999996</v>
      </c>
      <c r="AC7" s="23">
        <v>30</v>
      </c>
      <c r="AD7" s="24"/>
      <c r="AE7" s="26">
        <v>0.05</v>
      </c>
      <c r="AF7" s="24"/>
    </row>
    <row r="8" spans="1:32" ht="16" x14ac:dyDescent="0.2">
      <c r="A8" s="22" t="s">
        <v>114</v>
      </c>
      <c r="B8" s="23">
        <v>0.01</v>
      </c>
      <c r="C8" s="23">
        <v>79</v>
      </c>
      <c r="D8" s="23">
        <v>3</v>
      </c>
      <c r="E8" s="23">
        <v>303</v>
      </c>
      <c r="F8" s="23">
        <v>10</v>
      </c>
      <c r="G8" s="23">
        <v>20</v>
      </c>
      <c r="H8" s="23">
        <v>150</v>
      </c>
      <c r="I8" s="23">
        <v>30</v>
      </c>
      <c r="J8" s="23" t="s">
        <v>115</v>
      </c>
      <c r="K8" s="24"/>
      <c r="L8" s="23">
        <v>1</v>
      </c>
      <c r="M8" s="23" t="s">
        <v>38</v>
      </c>
      <c r="N8" s="24"/>
      <c r="O8" s="25">
        <v>0.34583333333333333</v>
      </c>
      <c r="P8" s="23">
        <v>3000</v>
      </c>
      <c r="Q8" s="23">
        <v>150</v>
      </c>
      <c r="R8" s="23">
        <v>58</v>
      </c>
      <c r="S8" s="26">
        <v>1.9E-2</v>
      </c>
      <c r="T8" s="24"/>
      <c r="U8" s="23">
        <v>611</v>
      </c>
      <c r="V8" s="23">
        <v>2430</v>
      </c>
      <c r="W8" s="23">
        <v>270</v>
      </c>
      <c r="X8" s="23">
        <v>300</v>
      </c>
      <c r="Y8" s="26">
        <v>0.86699999999999999</v>
      </c>
      <c r="Z8" s="26">
        <v>0.88100000000000001</v>
      </c>
      <c r="AA8" s="26">
        <v>0.86699999999999999</v>
      </c>
      <c r="AB8" s="26">
        <v>0.86299999999999999</v>
      </c>
      <c r="AC8" s="23">
        <v>30</v>
      </c>
      <c r="AD8" s="24"/>
      <c r="AE8" s="26">
        <v>0.05</v>
      </c>
      <c r="AF8" s="24"/>
    </row>
    <row r="9" spans="1:32" x14ac:dyDescent="0.2">
      <c r="A9" s="4"/>
      <c r="B9" s="5"/>
      <c r="C9" s="6"/>
      <c r="D9" s="6"/>
      <c r="E9" s="6"/>
      <c r="F9" s="6"/>
      <c r="G9" s="6"/>
      <c r="H9" s="6"/>
      <c r="I9" s="6"/>
      <c r="J9" s="6"/>
      <c r="K9" s="4"/>
      <c r="L9" s="6"/>
      <c r="M9" s="4"/>
      <c r="N9" s="6"/>
      <c r="O9" s="4"/>
      <c r="P9" s="6"/>
      <c r="Q9" s="6"/>
      <c r="R9" s="6"/>
      <c r="S9" s="8" t="str">
        <f t="shared" si="0"/>
        <v/>
      </c>
      <c r="T9" s="6"/>
      <c r="U9" s="6"/>
      <c r="V9" s="6"/>
      <c r="W9" s="6"/>
      <c r="X9" s="6"/>
      <c r="Y9" s="8"/>
      <c r="Z9" s="8"/>
      <c r="AA9" s="8"/>
      <c r="AB9" s="8"/>
      <c r="AC9" s="6"/>
      <c r="AD9" s="6"/>
      <c r="AE9" s="8" t="str">
        <f t="shared" si="1"/>
        <v/>
      </c>
      <c r="AF9" s="9"/>
    </row>
    <row r="10" spans="1:32" x14ac:dyDescent="0.2">
      <c r="A10" s="4"/>
      <c r="B10" s="5"/>
      <c r="C10" s="6"/>
      <c r="D10" s="6"/>
      <c r="E10" s="6"/>
      <c r="F10" s="6"/>
      <c r="G10" s="6"/>
      <c r="H10" s="6"/>
      <c r="I10" s="6"/>
      <c r="J10" s="6"/>
      <c r="K10" s="4"/>
      <c r="L10" s="6"/>
      <c r="M10" s="4"/>
      <c r="N10" s="6"/>
      <c r="O10" s="4"/>
      <c r="P10" s="6"/>
      <c r="Q10" s="6"/>
      <c r="R10" s="6"/>
      <c r="S10" s="8" t="str">
        <f t="shared" si="0"/>
        <v/>
      </c>
      <c r="T10" s="6"/>
      <c r="U10" s="6"/>
      <c r="V10" s="6"/>
      <c r="W10" s="6"/>
      <c r="X10" s="6"/>
      <c r="Y10" s="8"/>
      <c r="Z10" s="8"/>
      <c r="AA10" s="8"/>
      <c r="AB10" s="8"/>
      <c r="AC10" s="6"/>
      <c r="AD10" s="6"/>
      <c r="AE10" s="8" t="str">
        <f t="shared" si="1"/>
        <v/>
      </c>
      <c r="AF10" s="9"/>
    </row>
    <row r="11" spans="1:32" x14ac:dyDescent="0.2">
      <c r="A11" s="4"/>
      <c r="B11" s="5"/>
      <c r="C11" s="6"/>
      <c r="D11" s="6"/>
      <c r="E11" s="6"/>
      <c r="F11" s="6"/>
      <c r="G11" s="6"/>
      <c r="H11" s="6"/>
      <c r="I11" s="6"/>
      <c r="J11" s="6"/>
      <c r="K11" s="4"/>
      <c r="L11" s="6"/>
      <c r="M11" s="4"/>
      <c r="N11" s="6"/>
      <c r="O11" s="4"/>
      <c r="P11" s="6"/>
      <c r="Q11" s="6"/>
      <c r="R11" s="6"/>
      <c r="S11" s="8" t="str">
        <f t="shared" si="0"/>
        <v/>
      </c>
      <c r="T11" s="6"/>
      <c r="U11" s="6"/>
      <c r="V11" s="6"/>
      <c r="W11" s="6"/>
      <c r="X11" s="6"/>
      <c r="Y11" s="8"/>
      <c r="Z11" s="8"/>
      <c r="AA11" s="8"/>
      <c r="AB11" s="8"/>
      <c r="AC11" s="6"/>
      <c r="AD11" s="6"/>
      <c r="AE11" s="8" t="str">
        <f t="shared" si="1"/>
        <v/>
      </c>
      <c r="AF11" s="9"/>
    </row>
    <row r="12" spans="1:32" x14ac:dyDescent="0.2">
      <c r="A12" s="4"/>
      <c r="B12" s="5"/>
      <c r="C12" s="6"/>
      <c r="D12" s="6"/>
      <c r="E12" s="6"/>
      <c r="F12" s="6"/>
      <c r="G12" s="6"/>
      <c r="H12" s="6"/>
      <c r="I12" s="6"/>
      <c r="J12" s="6"/>
      <c r="K12" s="4"/>
      <c r="L12" s="6"/>
      <c r="M12" s="4"/>
      <c r="N12" s="6"/>
      <c r="O12" s="4"/>
      <c r="P12" s="6"/>
      <c r="Q12" s="6"/>
      <c r="R12" s="6"/>
      <c r="S12" s="8" t="str">
        <f t="shared" si="0"/>
        <v/>
      </c>
      <c r="T12" s="6"/>
      <c r="U12" s="6"/>
      <c r="V12" s="6"/>
      <c r="W12" s="6"/>
      <c r="X12" s="6"/>
      <c r="Y12" s="8"/>
      <c r="Z12" s="8"/>
      <c r="AA12" s="8"/>
      <c r="AB12" s="8"/>
      <c r="AC12" s="6"/>
      <c r="AD12" s="6"/>
      <c r="AE12" s="8" t="str">
        <f t="shared" si="1"/>
        <v/>
      </c>
      <c r="AF12" s="9"/>
    </row>
    <row r="13" spans="1:32" x14ac:dyDescent="0.2">
      <c r="A13" s="4"/>
      <c r="B13" s="5"/>
      <c r="C13" s="6"/>
      <c r="D13" s="6"/>
      <c r="E13" s="6"/>
      <c r="F13" s="6"/>
      <c r="G13" s="6"/>
      <c r="H13" s="6"/>
      <c r="I13" s="6"/>
      <c r="J13" s="6"/>
      <c r="K13" s="4"/>
      <c r="L13" s="6"/>
      <c r="M13" s="4"/>
      <c r="N13" s="6"/>
      <c r="O13" s="4"/>
      <c r="P13" s="6"/>
      <c r="Q13" s="6"/>
      <c r="R13" s="6"/>
      <c r="S13" s="8" t="str">
        <f t="shared" si="0"/>
        <v/>
      </c>
      <c r="T13" s="6"/>
      <c r="U13" s="6"/>
      <c r="V13" s="6"/>
      <c r="W13" s="6"/>
      <c r="X13" s="6"/>
      <c r="Y13" s="8"/>
      <c r="Z13" s="8"/>
      <c r="AA13" s="8"/>
      <c r="AB13" s="8"/>
      <c r="AC13" s="6"/>
      <c r="AD13" s="6"/>
      <c r="AE13" s="8" t="str">
        <f t="shared" si="1"/>
        <v/>
      </c>
      <c r="AF13" s="9"/>
    </row>
    <row r="14" spans="1:32" x14ac:dyDescent="0.2">
      <c r="A14" s="4"/>
      <c r="B14" s="5"/>
      <c r="C14" s="6"/>
      <c r="D14" s="6"/>
      <c r="E14" s="6"/>
      <c r="F14" s="6"/>
      <c r="G14" s="6"/>
      <c r="H14" s="6"/>
      <c r="I14" s="6"/>
      <c r="J14" s="6"/>
      <c r="K14" s="4"/>
      <c r="L14" s="6"/>
      <c r="M14" s="4"/>
      <c r="N14" s="6"/>
      <c r="O14" s="4"/>
      <c r="P14" s="6"/>
      <c r="Q14" s="6"/>
      <c r="R14" s="6"/>
      <c r="S14" s="8" t="str">
        <f t="shared" si="0"/>
        <v/>
      </c>
      <c r="T14" s="6"/>
      <c r="U14" s="6"/>
      <c r="V14" s="6"/>
      <c r="W14" s="6"/>
      <c r="X14" s="6"/>
      <c r="Y14" s="8"/>
      <c r="Z14" s="8"/>
      <c r="AA14" s="8"/>
      <c r="AB14" s="8"/>
      <c r="AC14" s="6"/>
      <c r="AD14" s="6"/>
      <c r="AE14" s="8" t="str">
        <f t="shared" si="1"/>
        <v/>
      </c>
      <c r="AF14" s="9"/>
    </row>
    <row r="15" spans="1:32" x14ac:dyDescent="0.2">
      <c r="A15" s="4"/>
      <c r="B15" s="5"/>
      <c r="C15" s="6"/>
      <c r="D15" s="6"/>
      <c r="E15" s="6"/>
      <c r="F15" s="6"/>
      <c r="G15" s="6"/>
      <c r="H15" s="6"/>
      <c r="I15" s="6"/>
      <c r="J15" s="6"/>
      <c r="K15" s="4"/>
      <c r="L15" s="6"/>
      <c r="M15" s="4"/>
      <c r="N15" s="6"/>
      <c r="O15" s="4"/>
      <c r="P15" s="6"/>
      <c r="Q15" s="6"/>
      <c r="R15" s="6"/>
      <c r="S15" s="8" t="str">
        <f t="shared" si="0"/>
        <v/>
      </c>
      <c r="T15" s="6"/>
      <c r="U15" s="6"/>
      <c r="V15" s="6"/>
      <c r="W15" s="6"/>
      <c r="X15" s="6"/>
      <c r="Y15" s="8"/>
      <c r="Z15" s="8"/>
      <c r="AA15" s="8"/>
      <c r="AB15" s="8"/>
      <c r="AC15" s="6"/>
      <c r="AD15" s="6"/>
      <c r="AE15" s="8" t="str">
        <f t="shared" si="1"/>
        <v/>
      </c>
      <c r="AF15" s="9"/>
    </row>
    <row r="16" spans="1:32" x14ac:dyDescent="0.2">
      <c r="A16" s="4"/>
      <c r="B16" s="5"/>
      <c r="C16" s="6"/>
      <c r="D16" s="6"/>
      <c r="E16" s="6"/>
      <c r="F16" s="6"/>
      <c r="G16" s="6"/>
      <c r="H16" s="6"/>
      <c r="I16" s="6"/>
      <c r="J16" s="6"/>
      <c r="K16" s="4"/>
      <c r="L16" s="6"/>
      <c r="M16" s="4"/>
      <c r="N16" s="6"/>
      <c r="O16" s="4"/>
      <c r="P16" s="6"/>
      <c r="Q16" s="6"/>
      <c r="R16" s="6"/>
      <c r="S16" s="8" t="str">
        <f t="shared" si="0"/>
        <v/>
      </c>
      <c r="T16" s="6"/>
      <c r="U16" s="6"/>
      <c r="V16" s="6"/>
      <c r="W16" s="6"/>
      <c r="X16" s="6"/>
      <c r="Y16" s="8"/>
      <c r="Z16" s="8"/>
      <c r="AA16" s="8"/>
      <c r="AB16" s="8"/>
      <c r="AC16" s="6"/>
      <c r="AD16" s="6"/>
      <c r="AE16" s="8" t="str">
        <f t="shared" si="1"/>
        <v/>
      </c>
      <c r="AF16" s="9"/>
    </row>
    <row r="17" spans="1:32" x14ac:dyDescent="0.2">
      <c r="A17" s="4"/>
      <c r="B17" s="5"/>
      <c r="C17" s="6"/>
      <c r="D17" s="6"/>
      <c r="E17" s="6"/>
      <c r="F17" s="6"/>
      <c r="G17" s="6"/>
      <c r="H17" s="6"/>
      <c r="I17" s="6"/>
      <c r="J17" s="6"/>
      <c r="K17" s="4"/>
      <c r="L17" s="6"/>
      <c r="M17" s="4"/>
      <c r="N17" s="6"/>
      <c r="O17" s="4"/>
      <c r="P17" s="6"/>
      <c r="Q17" s="6"/>
      <c r="R17" s="6"/>
      <c r="S17" s="8" t="str">
        <f t="shared" si="0"/>
        <v/>
      </c>
      <c r="T17" s="6"/>
      <c r="U17" s="6"/>
      <c r="V17" s="6"/>
      <c r="W17" s="6"/>
      <c r="X17" s="6"/>
      <c r="Y17" s="8"/>
      <c r="Z17" s="8"/>
      <c r="AA17" s="8"/>
      <c r="AB17" s="8"/>
      <c r="AC17" s="6"/>
      <c r="AD17" s="6"/>
      <c r="AE17" s="8" t="str">
        <f t="shared" si="1"/>
        <v/>
      </c>
      <c r="AF17" s="9"/>
    </row>
    <row r="18" spans="1:32" x14ac:dyDescent="0.2">
      <c r="A18" s="4"/>
      <c r="B18" s="5"/>
      <c r="C18" s="6"/>
      <c r="D18" s="6"/>
      <c r="E18" s="6"/>
      <c r="F18" s="6"/>
      <c r="G18" s="6"/>
      <c r="H18" s="6"/>
      <c r="I18" s="6"/>
      <c r="J18" s="6"/>
      <c r="K18" s="4"/>
      <c r="L18" s="6"/>
      <c r="M18" s="4"/>
      <c r="N18" s="6"/>
      <c r="O18" s="4"/>
      <c r="P18" s="6"/>
      <c r="Q18" s="6"/>
      <c r="R18" s="6"/>
      <c r="S18" s="8" t="str">
        <f t="shared" si="0"/>
        <v/>
      </c>
      <c r="T18" s="6"/>
      <c r="U18" s="6"/>
      <c r="V18" s="6"/>
      <c r="W18" s="6"/>
      <c r="X18" s="6"/>
      <c r="Y18" s="8"/>
      <c r="Z18" s="8"/>
      <c r="AA18" s="8"/>
      <c r="AB18" s="8"/>
      <c r="AC18" s="6"/>
      <c r="AD18" s="6"/>
      <c r="AE18" s="8" t="str">
        <f t="shared" si="1"/>
        <v/>
      </c>
      <c r="AF18" s="9"/>
    </row>
    <row r="19" spans="1:32" x14ac:dyDescent="0.2">
      <c r="A19" s="4"/>
      <c r="B19" s="5"/>
      <c r="C19" s="6"/>
      <c r="D19" s="6"/>
      <c r="E19" s="6"/>
      <c r="F19" s="6"/>
      <c r="G19" s="6"/>
      <c r="H19" s="6"/>
      <c r="I19" s="6"/>
      <c r="J19" s="6"/>
      <c r="K19" s="4"/>
      <c r="L19" s="6"/>
      <c r="M19" s="4"/>
      <c r="N19" s="6"/>
      <c r="O19" s="4"/>
      <c r="P19" s="6"/>
      <c r="Q19" s="6"/>
      <c r="R19" s="6"/>
      <c r="S19" s="8" t="str">
        <f t="shared" si="0"/>
        <v/>
      </c>
      <c r="T19" s="6"/>
      <c r="U19" s="6"/>
      <c r="V19" s="6"/>
      <c r="W19" s="6"/>
      <c r="X19" s="6"/>
      <c r="Y19" s="8"/>
      <c r="Z19" s="8"/>
      <c r="AA19" s="8"/>
      <c r="AB19" s="8"/>
      <c r="AC19" s="6"/>
      <c r="AD19" s="6"/>
      <c r="AE19" s="8" t="str">
        <f t="shared" si="1"/>
        <v/>
      </c>
      <c r="AF19" s="9"/>
    </row>
    <row r="20" spans="1:32" x14ac:dyDescent="0.2">
      <c r="A20" s="4"/>
      <c r="B20" s="5"/>
      <c r="C20" s="6"/>
      <c r="D20" s="6"/>
      <c r="E20" s="6"/>
      <c r="F20" s="6"/>
      <c r="G20" s="6"/>
      <c r="H20" s="6"/>
      <c r="I20" s="6"/>
      <c r="J20" s="6"/>
      <c r="K20" s="4"/>
      <c r="L20" s="6"/>
      <c r="M20" s="4"/>
      <c r="N20" s="6"/>
      <c r="O20" s="4"/>
      <c r="P20" s="6"/>
      <c r="Q20" s="6"/>
      <c r="R20" s="6"/>
      <c r="S20" s="8" t="str">
        <f t="shared" si="0"/>
        <v/>
      </c>
      <c r="T20" s="6"/>
      <c r="U20" s="6"/>
      <c r="V20" s="6"/>
      <c r="W20" s="6"/>
      <c r="X20" s="6"/>
      <c r="Y20" s="8"/>
      <c r="Z20" s="8"/>
      <c r="AA20" s="8"/>
      <c r="AB20" s="8"/>
      <c r="AC20" s="6"/>
      <c r="AD20" s="6"/>
      <c r="AE20" s="8" t="str">
        <f t="shared" si="1"/>
        <v/>
      </c>
      <c r="AF20" s="9"/>
    </row>
    <row r="21" spans="1:32" x14ac:dyDescent="0.2">
      <c r="A21" s="4"/>
      <c r="B21" s="5"/>
      <c r="C21" s="6"/>
      <c r="D21" s="6"/>
      <c r="E21" s="27" t="s">
        <v>112</v>
      </c>
      <c r="F21" s="6"/>
      <c r="G21" s="6"/>
      <c r="H21" s="6"/>
      <c r="I21" s="6"/>
      <c r="J21" s="6"/>
      <c r="K21" s="4"/>
      <c r="L21" s="6"/>
      <c r="M21" s="4"/>
      <c r="N21" s="6"/>
      <c r="O21" s="4"/>
      <c r="P21" s="6"/>
      <c r="Q21" s="6"/>
      <c r="R21" s="6"/>
      <c r="S21" s="8" t="str">
        <f t="shared" si="0"/>
        <v/>
      </c>
      <c r="T21" s="6"/>
      <c r="U21" s="6"/>
      <c r="V21" s="6"/>
      <c r="W21" s="6"/>
      <c r="X21" s="6"/>
      <c r="Y21" s="8"/>
      <c r="Z21" s="8"/>
      <c r="AA21" s="8"/>
      <c r="AB21" s="8"/>
      <c r="AC21" s="6"/>
      <c r="AD21" s="6"/>
      <c r="AE21" s="8" t="str">
        <f t="shared" si="1"/>
        <v/>
      </c>
      <c r="AF21" s="9"/>
    </row>
    <row r="22" spans="1:32" x14ac:dyDescent="0.2">
      <c r="A22" s="4"/>
      <c r="B22" s="5"/>
      <c r="C22" s="6"/>
      <c r="D22" s="6"/>
      <c r="E22" s="6"/>
      <c r="F22" s="6"/>
      <c r="G22" s="6"/>
      <c r="H22" s="6"/>
      <c r="I22" s="6"/>
      <c r="J22" s="6"/>
      <c r="K22" s="4"/>
      <c r="L22" s="6"/>
      <c r="M22" s="4"/>
      <c r="N22" s="6"/>
      <c r="O22" s="4"/>
      <c r="P22" s="6"/>
      <c r="Q22" s="6"/>
      <c r="R22" s="6"/>
      <c r="S22" s="8" t="str">
        <f t="shared" si="0"/>
        <v/>
      </c>
      <c r="T22" s="6"/>
      <c r="U22" s="6"/>
      <c r="V22" s="6"/>
      <c r="W22" s="6"/>
      <c r="X22" s="6"/>
      <c r="Y22" s="8"/>
      <c r="Z22" s="8"/>
      <c r="AA22" s="8"/>
      <c r="AB22" s="8"/>
      <c r="AC22" s="6"/>
      <c r="AD22" s="6"/>
      <c r="AE22" s="8" t="str">
        <f t="shared" si="1"/>
        <v/>
      </c>
      <c r="AF22" s="9"/>
    </row>
    <row r="23" spans="1:32" ht="15" customHeight="1" x14ac:dyDescent="0.2">
      <c r="J23" s="6"/>
    </row>
  </sheetData>
  <mergeCells count="4">
    <mergeCell ref="A1:AF1"/>
    <mergeCell ref="A2:O2"/>
    <mergeCell ref="P2:X2"/>
    <mergeCell ref="Y2:AF2"/>
  </mergeCells>
  <dataValidations count="1">
    <dataValidation type="list" allowBlank="1" sqref="J4:J6" xr:uid="{00000000-0002-0000-0000-000000000000}">
      <formula1>"OFF,ON,Reduced"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zoomScaleNormal="100" workbookViewId="0">
      <selection sqref="A1:F1"/>
    </sheetView>
  </sheetViews>
  <sheetFormatPr baseColWidth="10" defaultColWidth="8.6640625" defaultRowHeight="15" customHeight="1" x14ac:dyDescent="0.2"/>
  <cols>
    <col min="1" max="1" width="16" customWidth="1"/>
    <col min="2" max="3" width="10" customWidth="1"/>
    <col min="4" max="4" width="14" customWidth="1"/>
    <col min="5" max="6" width="12" customWidth="1"/>
    <col min="7" max="7" width="38" customWidth="1"/>
  </cols>
  <sheetData>
    <row r="1" spans="1:7" ht="27.75" customHeight="1" x14ac:dyDescent="0.2">
      <c r="A1" s="16" t="s">
        <v>41</v>
      </c>
      <c r="B1" s="16"/>
      <c r="C1" s="16"/>
      <c r="D1" s="16"/>
      <c r="E1" s="16"/>
      <c r="F1" s="16"/>
    </row>
    <row r="3" spans="1:7" ht="21.75" customHeight="1" x14ac:dyDescent="0.2">
      <c r="A3" s="10" t="s">
        <v>4</v>
      </c>
      <c r="B3" s="10" t="s">
        <v>42</v>
      </c>
      <c r="C3" s="10" t="s">
        <v>43</v>
      </c>
      <c r="D3" s="10" t="s">
        <v>44</v>
      </c>
      <c r="E3" s="10" t="s">
        <v>28</v>
      </c>
      <c r="F3" s="10" t="s">
        <v>31</v>
      </c>
    </row>
    <row r="4" spans="1:7" x14ac:dyDescent="0.2">
      <c r="A4" s="4" t="s">
        <v>36</v>
      </c>
      <c r="B4" s="6">
        <f>IFERROR(INDEX(Experiments!$G$4:$G$22,MATCH($A4,Experiments!$A$4:$A$22,0)),"")</f>
        <v>5</v>
      </c>
      <c r="C4" s="6">
        <f>IFERROR(INDEX(Experiments!$H$4:$H$22,MATCH($A4,Experiments!$A$4:$A$22,0)),"")</f>
        <v>50</v>
      </c>
      <c r="D4" s="4" t="str">
        <f>IFERROR(INDEX(Experiments!$J$4:$J$22,MATCH($A4,Experiments!$A$4:$A$22,0)),"")</f>
        <v>ON</v>
      </c>
      <c r="E4" s="8">
        <f>IFERROR(INDEX(Experiments!$Y$4:$Y$22,MATCH($A4,Experiments!$A$4:$A$22,0)),"")</f>
        <v>0.32</v>
      </c>
      <c r="F4" s="8">
        <f>IFERROR(INDEX(Experiments!$AB$4:$AB$22,MATCH($A4,Experiments!$A$4:$A$22,0)),"")</f>
        <v>0.26800000000000002</v>
      </c>
      <c r="G4" s="11" t="s">
        <v>45</v>
      </c>
    </row>
    <row r="5" spans="1:7" x14ac:dyDescent="0.2">
      <c r="A5" s="4" t="s">
        <v>46</v>
      </c>
      <c r="B5" s="4">
        <f>IFERROR(INDEX(Experiments!$G$4:$G$22,MATCH($A5,Experiments!$A$4:$A$22,0)),"")</f>
        <v>5</v>
      </c>
      <c r="C5" s="4">
        <f>IFERROR(INDEX(Experiments!$H$4:$H$22,MATCH($A5,Experiments!$A$4:$A$22,0)),"")</f>
        <v>100</v>
      </c>
      <c r="D5" s="4" t="str">
        <f>IFERROR(INDEX(Experiments!$J$4:$J$22,MATCH($A5,Experiments!$A$4:$A$22,0)),"")</f>
        <v>OFF</v>
      </c>
      <c r="E5" s="8">
        <f>IFERROR(INDEX(Experiments!$Y$4:$Y$22,MATCH($A5,Experiments!$A$4:$A$22,0)),"")</f>
        <v>0.92</v>
      </c>
      <c r="F5" s="8">
        <f>IFERROR(INDEX(Experiments!$AB$4:$AB$22,MATCH($A5,Experiments!$A$4:$A$22,0)),"")</f>
        <v>0.92100000000000004</v>
      </c>
      <c r="G5" s="11" t="s">
        <v>47</v>
      </c>
    </row>
    <row r="6" spans="1:7" x14ac:dyDescent="0.2">
      <c r="A6" s="4" t="s">
        <v>48</v>
      </c>
      <c r="B6" s="4" t="str">
        <f>IFERROR(INDEX(Experiments!$G$4:$G$22,MATCH($A6,Experiments!$A$4:$A$22,0)),"")</f>
        <v/>
      </c>
      <c r="C6" s="4" t="str">
        <f>IFERROR(INDEX(Experiments!$H$4:$H$22,MATCH($A6,Experiments!$A$4:$A$22,0)),"")</f>
        <v/>
      </c>
      <c r="D6" s="4" t="str">
        <f>IFERROR(INDEX(Experiments!$J$4:$J$22,MATCH($A6,Experiments!$A$4:$A$22,0)),"")</f>
        <v/>
      </c>
      <c r="E6" s="8" t="str">
        <f>IFERROR(INDEX(Experiments!$Y$4:$Y$22,MATCH($A6,Experiments!$A$4:$A$22,0)),"")</f>
        <v/>
      </c>
      <c r="F6" s="8" t="str">
        <f>IFERROR(INDEX(Experiments!$AB$4:$AB$22,MATCH($A6,Experiments!$A$4:$A$22,0)),"")</f>
        <v/>
      </c>
      <c r="G6" s="11" t="s">
        <v>49</v>
      </c>
    </row>
    <row r="7" spans="1:7" x14ac:dyDescent="0.2">
      <c r="A7" s="4" t="s">
        <v>50</v>
      </c>
      <c r="B7" s="4" t="str">
        <f>IFERROR(INDEX(Experiments!$G$4:$G$22,MATCH($A7,Experiments!$A$4:$A$22,0)),"")</f>
        <v/>
      </c>
      <c r="C7" s="4" t="str">
        <f>IFERROR(INDEX(Experiments!$H$4:$H$22,MATCH($A7,Experiments!$A$4:$A$22,0)),"")</f>
        <v/>
      </c>
      <c r="D7" s="4" t="str">
        <f>IFERROR(INDEX(Experiments!$J$4:$J$22,MATCH($A7,Experiments!$A$4:$A$22,0)),"")</f>
        <v/>
      </c>
      <c r="E7" s="8" t="str">
        <f>IFERROR(INDEX(Experiments!$Y$4:$Y$22,MATCH($A7,Experiments!$A$4:$A$22,0)),"")</f>
        <v/>
      </c>
      <c r="F7" s="8" t="str">
        <f>IFERROR(INDEX(Experiments!$AB$4:$AB$22,MATCH($A7,Experiments!$A$4:$A$22,0)),"")</f>
        <v/>
      </c>
      <c r="G7" s="11" t="s">
        <v>51</v>
      </c>
    </row>
    <row r="10" spans="1:7" x14ac:dyDescent="0.2">
      <c r="A10" s="12" t="s">
        <v>52</v>
      </c>
    </row>
    <row r="11" spans="1:7" x14ac:dyDescent="0.2">
      <c r="A11" s="20" t="s">
        <v>53</v>
      </c>
      <c r="B11" s="20"/>
      <c r="C11" s="20"/>
      <c r="D11" s="20"/>
      <c r="E11" s="20"/>
      <c r="F11" s="20"/>
      <c r="G11" s="20"/>
    </row>
    <row r="12" spans="1:7" x14ac:dyDescent="0.2">
      <c r="A12" s="20" t="s">
        <v>54</v>
      </c>
      <c r="B12" s="20"/>
      <c r="C12" s="20"/>
      <c r="D12" s="20"/>
      <c r="E12" s="20"/>
      <c r="F12" s="20"/>
      <c r="G12" s="20"/>
    </row>
    <row r="13" spans="1:7" x14ac:dyDescent="0.2">
      <c r="A13" s="20" t="s">
        <v>55</v>
      </c>
      <c r="B13" s="20"/>
      <c r="C13" s="20"/>
      <c r="D13" s="20"/>
      <c r="E13" s="20"/>
      <c r="F13" s="20"/>
      <c r="G13" s="20"/>
    </row>
    <row r="14" spans="1:7" x14ac:dyDescent="0.2">
      <c r="A14" s="20" t="s">
        <v>56</v>
      </c>
      <c r="B14" s="20"/>
      <c r="C14" s="20"/>
      <c r="D14" s="20"/>
      <c r="E14" s="20"/>
      <c r="F14" s="20"/>
      <c r="G14" s="20"/>
    </row>
  </sheetData>
  <mergeCells count="5">
    <mergeCell ref="A1:F1"/>
    <mergeCell ref="A11:G11"/>
    <mergeCell ref="A12:G12"/>
    <mergeCell ref="A13:G13"/>
    <mergeCell ref="A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zoomScaleNormal="100" workbookViewId="0">
      <selection sqref="A1:C1"/>
    </sheetView>
  </sheetViews>
  <sheetFormatPr baseColWidth="10" defaultColWidth="8.6640625" defaultRowHeight="15" customHeight="1" x14ac:dyDescent="0.2"/>
  <cols>
    <col min="1" max="1" width="24" customWidth="1"/>
    <col min="2" max="2" width="26" customWidth="1"/>
    <col min="3" max="3" width="60" customWidth="1"/>
  </cols>
  <sheetData>
    <row r="1" spans="1:3" ht="25.5" customHeight="1" x14ac:dyDescent="0.2">
      <c r="A1" s="16" t="s">
        <v>57</v>
      </c>
      <c r="B1" s="16"/>
      <c r="C1" s="16"/>
    </row>
    <row r="3" spans="1:3" x14ac:dyDescent="0.2">
      <c r="A3" s="10" t="s">
        <v>58</v>
      </c>
      <c r="B3" s="10" t="s">
        <v>59</v>
      </c>
      <c r="C3" s="10" t="s">
        <v>60</v>
      </c>
    </row>
    <row r="4" spans="1:3" x14ac:dyDescent="0.2">
      <c r="A4" s="13" t="s">
        <v>61</v>
      </c>
      <c r="B4" s="9" t="s">
        <v>4</v>
      </c>
      <c r="C4" s="9" t="s">
        <v>62</v>
      </c>
    </row>
    <row r="5" spans="1:3" x14ac:dyDescent="0.2">
      <c r="A5" s="13" t="s">
        <v>61</v>
      </c>
      <c r="B5" s="9" t="s">
        <v>5</v>
      </c>
      <c r="C5" s="9" t="s">
        <v>63</v>
      </c>
    </row>
    <row r="6" spans="1:3" x14ac:dyDescent="0.2">
      <c r="A6" s="13" t="s">
        <v>61</v>
      </c>
      <c r="B6" s="9" t="s">
        <v>6</v>
      </c>
      <c r="C6" s="9" t="s">
        <v>64</v>
      </c>
    </row>
    <row r="7" spans="1:3" x14ac:dyDescent="0.2">
      <c r="A7" s="13" t="s">
        <v>61</v>
      </c>
      <c r="B7" s="9" t="s">
        <v>7</v>
      </c>
      <c r="C7" s="9" t="s">
        <v>65</v>
      </c>
    </row>
    <row r="8" spans="1:3" x14ac:dyDescent="0.2">
      <c r="A8" s="13" t="s">
        <v>61</v>
      </c>
      <c r="B8" s="9" t="s">
        <v>8</v>
      </c>
      <c r="C8" s="9" t="s">
        <v>66</v>
      </c>
    </row>
    <row r="9" spans="1:3" x14ac:dyDescent="0.2">
      <c r="A9" s="13" t="s">
        <v>61</v>
      </c>
      <c r="B9" s="9" t="s">
        <v>9</v>
      </c>
      <c r="C9" s="9" t="s">
        <v>67</v>
      </c>
    </row>
    <row r="10" spans="1:3" x14ac:dyDescent="0.2">
      <c r="A10" s="13" t="s">
        <v>61</v>
      </c>
      <c r="B10" s="9" t="s">
        <v>10</v>
      </c>
      <c r="C10" s="9" t="s">
        <v>68</v>
      </c>
    </row>
    <row r="11" spans="1:3" x14ac:dyDescent="0.2">
      <c r="A11" s="13" t="s">
        <v>61</v>
      </c>
      <c r="B11" s="9" t="s">
        <v>11</v>
      </c>
      <c r="C11" s="9" t="s">
        <v>20</v>
      </c>
    </row>
    <row r="12" spans="1:3" x14ac:dyDescent="0.2">
      <c r="A12" s="13" t="s">
        <v>61</v>
      </c>
      <c r="B12" s="9" t="s">
        <v>12</v>
      </c>
      <c r="C12" s="9" t="s">
        <v>69</v>
      </c>
    </row>
    <row r="13" spans="1:3" x14ac:dyDescent="0.2">
      <c r="A13" s="13" t="s">
        <v>61</v>
      </c>
      <c r="B13" s="9" t="s">
        <v>13</v>
      </c>
      <c r="C13" s="9" t="s">
        <v>70</v>
      </c>
    </row>
    <row r="14" spans="1:3" x14ac:dyDescent="0.2">
      <c r="A14" s="13" t="s">
        <v>61</v>
      </c>
      <c r="B14" s="9" t="s">
        <v>14</v>
      </c>
      <c r="C14" s="9" t="s">
        <v>71</v>
      </c>
    </row>
    <row r="15" spans="1:3" x14ac:dyDescent="0.2">
      <c r="A15" s="13" t="s">
        <v>61</v>
      </c>
      <c r="B15" s="9" t="s">
        <v>15</v>
      </c>
      <c r="C15" s="9" t="s">
        <v>71</v>
      </c>
    </row>
    <row r="16" spans="1:3" x14ac:dyDescent="0.2">
      <c r="A16" s="13" t="s">
        <v>61</v>
      </c>
      <c r="B16" s="9" t="s">
        <v>16</v>
      </c>
      <c r="C16" s="9" t="s">
        <v>72</v>
      </c>
    </row>
    <row r="17" spans="1:3" x14ac:dyDescent="0.2">
      <c r="A17" s="13" t="s">
        <v>61</v>
      </c>
      <c r="B17" s="9" t="s">
        <v>17</v>
      </c>
      <c r="C17" s="9" t="s">
        <v>73</v>
      </c>
    </row>
    <row r="18" spans="1:3" x14ac:dyDescent="0.2">
      <c r="A18" s="13" t="s">
        <v>61</v>
      </c>
      <c r="B18" s="9" t="s">
        <v>18</v>
      </c>
      <c r="C18" s="9" t="s">
        <v>74</v>
      </c>
    </row>
    <row r="19" spans="1:3" x14ac:dyDescent="0.2">
      <c r="A19" s="14" t="s">
        <v>75</v>
      </c>
      <c r="B19" s="9" t="s">
        <v>19</v>
      </c>
      <c r="C19" s="9" t="s">
        <v>76</v>
      </c>
    </row>
    <row r="20" spans="1:3" x14ac:dyDescent="0.2">
      <c r="A20" s="14" t="s">
        <v>75</v>
      </c>
      <c r="B20" s="9" t="s">
        <v>20</v>
      </c>
      <c r="C20" s="9" t="s">
        <v>77</v>
      </c>
    </row>
    <row r="21" spans="1:3" x14ac:dyDescent="0.2">
      <c r="A21" s="14" t="s">
        <v>75</v>
      </c>
      <c r="B21" s="9" t="s">
        <v>21</v>
      </c>
      <c r="C21" s="9" t="s">
        <v>78</v>
      </c>
    </row>
    <row r="22" spans="1:3" x14ac:dyDescent="0.2">
      <c r="A22" s="14" t="s">
        <v>75</v>
      </c>
      <c r="B22" s="9" t="s">
        <v>22</v>
      </c>
      <c r="C22" s="9" t="s">
        <v>79</v>
      </c>
    </row>
    <row r="23" spans="1:3" x14ac:dyDescent="0.2">
      <c r="A23" s="14" t="s">
        <v>75</v>
      </c>
      <c r="B23" s="9" t="s">
        <v>23</v>
      </c>
      <c r="C23" s="9" t="s">
        <v>80</v>
      </c>
    </row>
    <row r="24" spans="1:3" x14ac:dyDescent="0.2">
      <c r="A24" s="14" t="s">
        <v>75</v>
      </c>
      <c r="B24" s="9" t="s">
        <v>24</v>
      </c>
      <c r="C24" s="9" t="s">
        <v>81</v>
      </c>
    </row>
    <row r="25" spans="1:3" x14ac:dyDescent="0.2">
      <c r="A25" s="14" t="s">
        <v>75</v>
      </c>
      <c r="B25" s="9" t="s">
        <v>25</v>
      </c>
      <c r="C25" s="9" t="s">
        <v>82</v>
      </c>
    </row>
    <row r="26" spans="1:3" x14ac:dyDescent="0.2">
      <c r="A26" s="14" t="s">
        <v>75</v>
      </c>
      <c r="B26" s="9" t="s">
        <v>26</v>
      </c>
      <c r="C26" s="9" t="s">
        <v>83</v>
      </c>
    </row>
    <row r="27" spans="1:3" x14ac:dyDescent="0.2">
      <c r="A27" s="14" t="s">
        <v>75</v>
      </c>
      <c r="B27" s="9" t="s">
        <v>27</v>
      </c>
      <c r="C27" s="9" t="s">
        <v>84</v>
      </c>
    </row>
    <row r="28" spans="1:3" x14ac:dyDescent="0.2">
      <c r="A28" s="15" t="s">
        <v>85</v>
      </c>
      <c r="B28" s="9" t="s">
        <v>28</v>
      </c>
      <c r="C28" s="9" t="s">
        <v>86</v>
      </c>
    </row>
    <row r="29" spans="1:3" x14ac:dyDescent="0.2">
      <c r="A29" s="15" t="s">
        <v>85</v>
      </c>
      <c r="B29" s="9" t="s">
        <v>29</v>
      </c>
      <c r="C29" s="9" t="s">
        <v>87</v>
      </c>
    </row>
    <row r="30" spans="1:3" x14ac:dyDescent="0.2">
      <c r="A30" s="15" t="s">
        <v>85</v>
      </c>
      <c r="B30" s="9" t="s">
        <v>30</v>
      </c>
      <c r="C30" s="9" t="s">
        <v>87</v>
      </c>
    </row>
    <row r="31" spans="1:3" x14ac:dyDescent="0.2">
      <c r="A31" s="15" t="s">
        <v>85</v>
      </c>
      <c r="B31" s="9" t="s">
        <v>31</v>
      </c>
      <c r="C31" s="9" t="s">
        <v>87</v>
      </c>
    </row>
    <row r="32" spans="1:3" x14ac:dyDescent="0.2">
      <c r="A32" s="15" t="s">
        <v>85</v>
      </c>
      <c r="B32" s="9" t="s">
        <v>32</v>
      </c>
      <c r="C32" s="9" t="s">
        <v>88</v>
      </c>
    </row>
    <row r="33" spans="1:3" x14ac:dyDescent="0.2">
      <c r="A33" s="15" t="s">
        <v>85</v>
      </c>
      <c r="B33" s="9" t="s">
        <v>33</v>
      </c>
      <c r="C33" s="9" t="s">
        <v>89</v>
      </c>
    </row>
    <row r="34" spans="1:3" x14ac:dyDescent="0.2">
      <c r="A34" s="15" t="s">
        <v>85</v>
      </c>
      <c r="B34" s="9" t="s">
        <v>34</v>
      </c>
      <c r="C34" s="9" t="s">
        <v>90</v>
      </c>
    </row>
    <row r="35" spans="1:3" x14ac:dyDescent="0.2">
      <c r="A35" s="15" t="s">
        <v>85</v>
      </c>
      <c r="B35" s="9" t="s">
        <v>35</v>
      </c>
      <c r="C35" s="9" t="s">
        <v>91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zoomScaleNormal="100" workbookViewId="0">
      <selection sqref="A1:E1"/>
    </sheetView>
  </sheetViews>
  <sheetFormatPr baseColWidth="10" defaultColWidth="8.6640625" defaultRowHeight="15" customHeight="1" x14ac:dyDescent="0.2"/>
  <cols>
    <col min="1" max="1" width="16" customWidth="1"/>
    <col min="2" max="2" width="28" customWidth="1"/>
    <col min="3" max="4" width="18" customWidth="1"/>
    <col min="5" max="5" width="12" customWidth="1"/>
  </cols>
  <sheetData>
    <row r="1" spans="1:5" ht="25.5" customHeight="1" x14ac:dyDescent="0.2">
      <c r="A1" s="16" t="s">
        <v>92</v>
      </c>
      <c r="B1" s="16"/>
      <c r="C1" s="16"/>
      <c r="D1" s="16"/>
      <c r="E1" s="16"/>
    </row>
    <row r="3" spans="1:5" x14ac:dyDescent="0.2">
      <c r="A3" s="10" t="s">
        <v>93</v>
      </c>
      <c r="B3" s="10" t="s">
        <v>94</v>
      </c>
      <c r="C3" s="10" t="s">
        <v>95</v>
      </c>
      <c r="D3" s="10" t="s">
        <v>96</v>
      </c>
      <c r="E3" s="10" t="s">
        <v>28</v>
      </c>
    </row>
    <row r="4" spans="1:5" x14ac:dyDescent="0.2">
      <c r="A4" s="9" t="s">
        <v>97</v>
      </c>
      <c r="B4" s="9" t="s">
        <v>98</v>
      </c>
      <c r="C4" s="9" t="s">
        <v>99</v>
      </c>
      <c r="D4" s="9" t="s">
        <v>100</v>
      </c>
      <c r="E4" s="8"/>
    </row>
    <row r="5" spans="1:5" x14ac:dyDescent="0.2">
      <c r="A5" s="9" t="s">
        <v>101</v>
      </c>
      <c r="B5" s="9" t="s">
        <v>102</v>
      </c>
      <c r="C5" s="9" t="s">
        <v>103</v>
      </c>
      <c r="D5" s="9" t="s">
        <v>104</v>
      </c>
      <c r="E5" s="8"/>
    </row>
    <row r="6" spans="1:5" x14ac:dyDescent="0.2">
      <c r="A6" s="9" t="s">
        <v>105</v>
      </c>
      <c r="B6" s="9" t="s">
        <v>106</v>
      </c>
      <c r="C6" s="9" t="s">
        <v>107</v>
      </c>
      <c r="D6" s="9" t="s">
        <v>108</v>
      </c>
      <c r="E6" s="8"/>
    </row>
    <row r="9" spans="1:5" x14ac:dyDescent="0.2">
      <c r="A9" s="21" t="s">
        <v>109</v>
      </c>
      <c r="B9" s="21"/>
      <c r="C9" s="21"/>
      <c r="D9" s="21"/>
      <c r="E9" s="21"/>
    </row>
  </sheetData>
  <mergeCells count="2">
    <mergeCell ref="A1:E1"/>
    <mergeCell ref="A9:E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Experiments</vt:lpstr>
      <vt:lpstr>Thesis Comparison</vt:lpstr>
      <vt:lpstr>Field Reference</vt:lpstr>
      <vt:lpstr>Robustness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Staub Oliver I.BSCINF_F22.2101</cp:lastModifiedBy>
  <cp:revision>0</cp:revision>
  <dcterms:created xsi:type="dcterms:W3CDTF">2026-04-17T15:10:24Z</dcterms:created>
  <dcterms:modified xsi:type="dcterms:W3CDTF">2026-04-20T08:03:31Z</dcterms:modified>
  <dc:language>en-US</dc:language>
</cp:coreProperties>
</file>